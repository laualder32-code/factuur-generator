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al\ClaudeCode\Facturen\"/>
    </mc:Choice>
  </mc:AlternateContent>
  <xr:revisionPtr revIDLastSave="0" documentId="13_ncr:1_{B7F553B0-953A-41D1-91AF-37F618E69E39}" xr6:coauthVersionLast="47" xr6:coauthVersionMax="47" xr10:uidLastSave="{00000000-0000-0000-0000-000000000000}"/>
  <bookViews>
    <workbookView xWindow="-108" yWindow="-108" windowWidth="23256" windowHeight="12456" xr2:uid="{33A41A6B-1428-46C2-9CD8-34D5E3776CC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L15" i="1" l="1"/>
  <c r="C16" i="1"/>
  <c r="L16" i="1" s="1"/>
  <c r="Q5" i="1"/>
  <c r="Q4" i="1"/>
  <c r="Q3" i="1"/>
  <c r="N6" i="1"/>
  <c r="N5" i="1"/>
  <c r="N4" i="1"/>
  <c r="N3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C17" i="1" l="1"/>
  <c r="L17" i="1" s="1"/>
  <c r="I36" i="1"/>
  <c r="I38" i="1" s="1"/>
  <c r="I3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<sst xmlns="http://schemas.openxmlformats.org/spreadsheetml/2006/main" count="38" uniqueCount="34">
  <si>
    <t>Omschrijving</t>
  </si>
  <si>
    <t>Aantal</t>
  </si>
  <si>
    <t>Tarief in €</t>
  </si>
  <si>
    <t>Bedrag in €</t>
  </si>
  <si>
    <t>Gewerkte uren - [Datum] - [Locatie]</t>
  </si>
  <si>
    <t>Vergoeding reisuren - [Datum] - [Locatie]</t>
  </si>
  <si>
    <t>IBAN: NL53KNAB0800212673</t>
  </si>
  <si>
    <t>KVK-nr: 42053989</t>
  </si>
  <si>
    <t>L. Alders Works</t>
  </si>
  <si>
    <t>Achterzeeweg 4</t>
  </si>
  <si>
    <t>2201 EK Noordwijk</t>
  </si>
  <si>
    <t>Telefoon: 06-43537128</t>
  </si>
  <si>
    <t>Factuuradres</t>
  </si>
  <si>
    <t>[Adres]</t>
  </si>
  <si>
    <t>[Postcode, provincie en plaats]</t>
  </si>
  <si>
    <t>Factuur</t>
  </si>
  <si>
    <t>Factuurnummer:</t>
  </si>
  <si>
    <t>Factuurdatum:</t>
  </si>
  <si>
    <t>Vervaldatum:</t>
  </si>
  <si>
    <t>SUBTOTAAL</t>
  </si>
  <si>
    <t>TOTAAL</t>
  </si>
  <si>
    <t>Periode:</t>
  </si>
  <si>
    <t>Betaal het bedrag voor de vervaldatum op NL53KNAB0800212673 t.n.v. L. Alders Works o.v.v. het factuurnummer.</t>
  </si>
  <si>
    <t>Vragen over deze factuur? Kunt u contact opemen met</t>
  </si>
  <si>
    <t>Laurens Alders</t>
  </si>
  <si>
    <t>06-43537128</t>
  </si>
  <si>
    <t>laurens.alders@outlook.com</t>
  </si>
  <si>
    <t>BTW (%)</t>
  </si>
  <si>
    <t>BTW (€)</t>
  </si>
  <si>
    <r>
      <t>Btw-nr:</t>
    </r>
    <r>
      <rPr>
        <i/>
        <sz val="10"/>
        <rFont val="Aptos Narrow"/>
        <family val="2"/>
        <scheme val="minor"/>
      </rPr>
      <t xml:space="preserve"> </t>
    </r>
    <r>
      <rPr>
        <sz val="10"/>
        <rFont val="Aptos Narrow"/>
        <family val="2"/>
        <scheme val="minor"/>
      </rPr>
      <t>NL005459493B83</t>
    </r>
  </si>
  <si>
    <t>00 mei 2026 t/m 00 mei 2026</t>
  </si>
  <si>
    <t>[Naam]/[Bedrijfsnaam]</t>
  </si>
  <si>
    <t>[KVK - adres]</t>
  </si>
  <si>
    <t>[E-mail]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</si>
</sst>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[$-413]d\ mmmm\ yyyy;@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Display"/>
      <family val="2"/>
      <scheme val="maj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77C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01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0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thin">
        <color theme="4" tint="-0.2499465926084170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3" xfId="0" applyFont="1" applyFill="1" applyBorder="1" applyAlignment="1" applyProtection="1">
      <alignment horizontal="center" vertical="center"/>
      <protection locked="0"/>
    </xf>
    <xf numFmtId="43" fontId="2" fillId="2" borderId="3" xfId="0" applyNumberFormat="1" applyFont="1" applyFill="1" applyBorder="1" applyAlignment="1" applyProtection="1">
      <alignment vertical="center"/>
      <protection locked="0"/>
    </xf>
    <xf numFmtId="43" fontId="2" fillId="2" borderId="4" xfId="0" applyNumberFormat="1" applyFont="1" applyFill="1" applyBorder="1" applyAlignment="1">
      <alignment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43" fontId="2" fillId="0" borderId="7" xfId="0" applyNumberFormat="1" applyFont="1" applyBorder="1" applyAlignment="1" applyProtection="1">
      <alignment vertical="center"/>
      <protection locked="0"/>
    </xf>
    <xf numFmtId="43" fontId="2" fillId="0" borderId="8" xfId="0" applyNumberFormat="1" applyFont="1" applyBorder="1" applyAlignment="1">
      <alignment vertical="center"/>
    </xf>
    <xf numFmtId="0" fontId="2" fillId="0" borderId="9" xfId="0" applyFont="1" applyBorder="1" applyAlignment="1" applyProtection="1">
      <alignment horizontal="center" vertical="center"/>
      <protection locked="0"/>
    </xf>
    <xf numFmtId="43" fontId="2" fillId="0" borderId="9" xfId="0" applyNumberFormat="1" applyFont="1" applyBorder="1" applyAlignment="1" applyProtection="1">
      <alignment vertical="center"/>
      <protection locked="0"/>
    </xf>
    <xf numFmtId="43" fontId="2" fillId="0" borderId="10" xfId="0" applyNumberFormat="1" applyFont="1" applyBorder="1" applyAlignment="1">
      <alignment vertical="center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 applyProtection="1">
      <alignment horizontal="left" vertical="top"/>
      <protection locked="0"/>
    </xf>
    <xf numFmtId="164" fontId="4" fillId="0" borderId="0" xfId="0" applyNumberFormat="1" applyFont="1" applyAlignment="1">
      <alignment horizontal="left" vertical="top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43" fontId="4" fillId="5" borderId="0" xfId="0" applyNumberFormat="1" applyFont="1" applyFill="1" applyAlignment="1">
      <alignment vertical="center"/>
    </xf>
    <xf numFmtId="44" fontId="6" fillId="5" borderId="0" xfId="0" applyNumberFormat="1" applyFont="1" applyFill="1" applyAlignment="1">
      <alignment vertical="center"/>
    </xf>
    <xf numFmtId="0" fontId="10" fillId="0" borderId="0" xfId="0" applyFont="1" applyAlignment="1">
      <alignment horizontal="left"/>
    </xf>
    <xf numFmtId="0" fontId="10" fillId="0" borderId="0" xfId="0" applyFont="1"/>
    <xf numFmtId="10" fontId="4" fillId="5" borderId="0" xfId="0" applyNumberFormat="1" applyFont="1" applyFill="1" applyAlignme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 applyProtection="1">
      <alignment horizontal="left" vertical="top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4" borderId="13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2A77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2</xdr:col>
      <xdr:colOff>942975</xdr:colOff>
      <xdr:row>4</xdr:row>
      <xdr:rowOff>27407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45244141-A317-40F2-9888-C13E709D3D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97" t="15126" r="32152" b="15966"/>
        <a:stretch>
          <a:fillRect/>
        </a:stretch>
      </xdr:blipFill>
      <xdr:spPr bwMode="auto">
        <a:xfrm>
          <a:off x="219075" y="104775"/>
          <a:ext cx="1809750" cy="694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219075</xdr:colOff>
      <xdr:row>0</xdr:row>
      <xdr:rowOff>104775</xdr:rowOff>
    </xdr:from>
    <xdr:ext cx="1809750" cy="694157"/>
    <xdr:pic>
      <xdr:nvPicPr>
        <xdr:cNvPr id="3" name="Afbeelding 2">
          <a:extLst>
            <a:ext uri="{FF2B5EF4-FFF2-40B4-BE49-F238E27FC236}">
              <a16:creationId xmlns:a16="http://schemas.microsoft.com/office/drawing/2014/main" id="{9BBCA0EC-9BD3-42C6-AC05-8862678C5E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97" t="15126" r="32152" b="15966"/>
        <a:stretch>
          <a:fillRect/>
        </a:stretch>
      </xdr:blipFill>
      <xdr:spPr bwMode="auto">
        <a:xfrm>
          <a:off x="219075" y="104775"/>
          <a:ext cx="1809750" cy="694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3F50-36E1-44AE-A5C8-E9530692CCA1}">
  <dimension ref="A3:R48"/>
  <sheetViews>
    <sheetView tabSelected="1" topLeftCell="A15" zoomScaleNormal="100" workbookViewId="0">
      <selection activeCell="A21" sqref="A21:F35"/>
    </sheetView>
  </sheetViews>
  <sheetFormatPr defaultRowHeight="14.4" x14ac:dyDescent="0.3"/>
  <cols>
    <col min="2" max="2" width="7.109375" customWidth="1"/>
    <col min="3" max="3" width="15.33203125" customWidth="1"/>
    <col min="4" max="4" width="5.6640625" customWidth="1"/>
    <col min="5" max="5" width="5.88671875" customWidth="1"/>
    <col min="6" max="6" width="6.33203125" customWidth="1"/>
    <col min="8" max="8" width="12.6640625" customWidth="1"/>
    <col min="9" max="9" width="16" customWidth="1"/>
    <col min="11" max="11" width="7.109375" customWidth="1"/>
    <col min="12" max="12" width="15.33203125" customWidth="1"/>
    <col min="13" max="13" width="5.6640625" customWidth="1"/>
    <col min="14" max="14" width="5.88671875" customWidth="1"/>
    <col min="15" max="15" width="6.33203125" customWidth="1"/>
    <col min="17" max="17" width="12.6640625" customWidth="1"/>
    <col min="18" max="18" width="16" customWidth="1"/>
  </cols>
  <sheetData>
    <row r="3" spans="1:18" ht="15.6" x14ac:dyDescent="0.3">
      <c r="E3" s="27" t="s">
        <v>8</v>
      </c>
      <c r="F3" s="27"/>
      <c r="G3" s="27"/>
      <c r="H3" s="31" t="s">
        <v>6</v>
      </c>
      <c r="I3" s="31"/>
      <c r="N3" s="27" t="str">
        <f>E3</f>
        <v>L. Alders Works</v>
      </c>
      <c r="O3" s="27"/>
      <c r="P3" s="27"/>
      <c r="Q3" s="31" t="str">
        <f>H3</f>
        <v>IBAN: NL53KNAB0800212673</v>
      </c>
      <c r="R3" s="31"/>
    </row>
    <row r="4" spans="1:18" x14ac:dyDescent="0.3">
      <c r="E4" s="25" t="s">
        <v>9</v>
      </c>
      <c r="F4" s="25"/>
      <c r="G4" s="25"/>
      <c r="H4" s="22" t="s">
        <v>7</v>
      </c>
      <c r="I4" s="22"/>
      <c r="N4" s="25" t="str">
        <f>E4</f>
        <v>Achterzeeweg 4</v>
      </c>
      <c r="O4" s="25"/>
      <c r="P4" s="25"/>
      <c r="Q4" s="22" t="str">
        <f>H4</f>
        <v>KVK-nr: 42053989</v>
      </c>
      <c r="R4" s="22"/>
    </row>
    <row r="5" spans="1:18" x14ac:dyDescent="0.3">
      <c r="E5" s="25" t="s">
        <v>10</v>
      </c>
      <c r="F5" s="25"/>
      <c r="G5" s="25"/>
      <c r="H5" s="22" t="s">
        <v>29</v>
      </c>
      <c r="I5" s="22"/>
      <c r="N5" s="25" t="str">
        <f>E5</f>
        <v>2201 EK Noordwijk</v>
      </c>
      <c r="O5" s="25"/>
      <c r="P5" s="25"/>
      <c r="Q5" s="22" t="str">
        <f>H5</f>
        <v>Btw-nr: NL005459493B83</v>
      </c>
      <c r="R5" s="22"/>
    </row>
    <row r="6" spans="1:18" x14ac:dyDescent="0.3">
      <c r="E6" s="25" t="s">
        <v>11</v>
      </c>
      <c r="F6" s="25"/>
      <c r="G6" s="25"/>
      <c r="H6" s="26"/>
      <c r="I6" s="26"/>
      <c r="N6" s="25" t="str">
        <f>E6</f>
        <v>Telefoon: 06-43537128</v>
      </c>
      <c r="O6" s="25"/>
      <c r="P6" s="25"/>
      <c r="Q6" s="26"/>
      <c r="R6" s="26"/>
    </row>
    <row r="7" spans="1:18" x14ac:dyDescent="0.3">
      <c r="A7" s="24" t="s">
        <v>12</v>
      </c>
      <c r="B7" s="24"/>
      <c r="C7" s="24"/>
    </row>
    <row r="8" spans="1:18" x14ac:dyDescent="0.3">
      <c r="A8" s="25" t="s">
        <v>31</v>
      </c>
      <c r="B8" s="25"/>
      <c r="C8" s="25"/>
    </row>
    <row r="9" spans="1:18" x14ac:dyDescent="0.3">
      <c r="A9" s="25" t="s">
        <v>13</v>
      </c>
      <c r="B9" s="25"/>
      <c r="C9" s="25"/>
    </row>
    <row r="10" spans="1:18" x14ac:dyDescent="0.3">
      <c r="A10" s="25" t="s">
        <v>14</v>
      </c>
      <c r="B10" s="25"/>
      <c r="C10" s="25"/>
    </row>
    <row r="11" spans="1:18" x14ac:dyDescent="0.3">
      <c r="A11" s="25" t="s">
        <v>33</v>
      </c>
      <c r="B11" s="25"/>
      <c r="C11" s="25"/>
    </row>
    <row r="12" spans="1:18" x14ac:dyDescent="0.3">
      <c r="A12" s="33" t="s">
        <v>32</v>
      </c>
      <c r="B12" s="33"/>
      <c r="C12" s="33"/>
      <c r="H12" s="13" t="s">
        <v>21</v>
      </c>
      <c r="I12" s="13"/>
    </row>
    <row r="13" spans="1:18" x14ac:dyDescent="0.3">
      <c r="H13" s="32" t="s">
        <v>30</v>
      </c>
      <c r="I13" s="32"/>
    </row>
    <row r="14" spans="1:18" x14ac:dyDescent="0.3">
      <c r="A14" s="24" t="s">
        <v>15</v>
      </c>
      <c r="B14" s="24"/>
      <c r="C14" s="24"/>
      <c r="J14" s="24" t="s">
        <v>15</v>
      </c>
      <c r="K14" s="24"/>
      <c r="L14" s="24"/>
    </row>
    <row r="15" spans="1:18" x14ac:dyDescent="0.3">
      <c r="A15" s="20" t="s">
        <v>16</v>
      </c>
      <c r="B15" s="20"/>
      <c r="C15" t="str">
        <f ca="1">TEXT(TODAY(),"JJJJMMDD")</f>
        <v>20260604</v>
      </c>
      <c r="J15" s="20" t="s">
        <v>16</v>
      </c>
      <c r="K15" s="20"/>
      <c r="L15" s="10" t="str">
        <f ca="1">C15</f>
        <v>20260604</v>
      </c>
    </row>
    <row r="16" spans="1:18" x14ac:dyDescent="0.3">
      <c r="A16" s="21" t="s">
        <v>17</v>
      </c>
      <c r="B16" s="21"/>
      <c r="C16" s="11">
        <f ca="1">TODAY()</f>
        <v>46177</v>
      </c>
      <c r="J16" s="21" t="s">
        <v>17</v>
      </c>
      <c r="K16" s="21"/>
      <c r="L16" s="11">
        <f ca="1">C16</f>
        <v>46177</v>
      </c>
    </row>
    <row r="17" spans="1:18" x14ac:dyDescent="0.3">
      <c r="A17" s="21" t="s">
        <v>18</v>
      </c>
      <c r="B17" s="21"/>
      <c r="C17" s="12">
        <f ca="1">C16+30</f>
        <v>46207</v>
      </c>
      <c r="J17" s="21" t="s">
        <v>18</v>
      </c>
      <c r="K17" s="21"/>
      <c r="L17" s="12">
        <f ca="1">C17</f>
        <v>46207</v>
      </c>
    </row>
    <row r="20" spans="1:18" x14ac:dyDescent="0.3">
      <c r="A20" s="24" t="s">
        <v>0</v>
      </c>
      <c r="B20" s="24"/>
      <c r="C20" s="24"/>
      <c r="D20" s="24"/>
      <c r="E20" s="24"/>
      <c r="F20" s="24"/>
      <c r="G20" s="14" t="s">
        <v>1</v>
      </c>
      <c r="H20" s="14" t="s">
        <v>2</v>
      </c>
      <c r="I20" s="14" t="s">
        <v>3</v>
      </c>
      <c r="J20" s="22" t="s">
        <v>22</v>
      </c>
      <c r="K20" s="22"/>
      <c r="L20" s="22"/>
      <c r="M20" s="22"/>
      <c r="N20" s="22"/>
      <c r="O20" s="22"/>
      <c r="P20" s="22"/>
      <c r="Q20" s="22"/>
      <c r="R20" s="22"/>
    </row>
    <row r="21" spans="1:18" x14ac:dyDescent="0.3">
      <c r="A21" s="34" t="s">
        <v>4</v>
      </c>
      <c r="B21" s="34"/>
      <c r="C21" s="34"/>
      <c r="D21" s="34"/>
      <c r="E21" s="34"/>
      <c r="F21" s="35"/>
      <c r="G21" s="1">
        <v>0</v>
      </c>
      <c r="H21" s="2">
        <v>45</v>
      </c>
      <c r="I21" s="3">
        <f t="shared" ref="I21:I35" si="0">IF(G21="",ROUND(1*H21,2),ROUND(G21*H21,2))</f>
        <v>0</v>
      </c>
    </row>
    <row r="22" spans="1:18" x14ac:dyDescent="0.3">
      <c r="A22" s="36" t="s">
        <v>5</v>
      </c>
      <c r="B22" s="36"/>
      <c r="C22" s="36"/>
      <c r="D22" s="36"/>
      <c r="E22" s="36"/>
      <c r="F22" s="37"/>
      <c r="G22" s="4">
        <v>0</v>
      </c>
      <c r="H22" s="5">
        <v>22.5</v>
      </c>
      <c r="I22" s="6">
        <f t="shared" si="0"/>
        <v>0</v>
      </c>
      <c r="J22" s="22" t="s">
        <v>23</v>
      </c>
      <c r="K22" s="22"/>
      <c r="L22" s="22"/>
      <c r="M22" s="22"/>
      <c r="N22" s="22"/>
      <c r="O22" s="22"/>
      <c r="P22" s="22"/>
      <c r="Q22" s="22"/>
      <c r="R22" s="22"/>
    </row>
    <row r="23" spans="1:18" x14ac:dyDescent="0.3">
      <c r="A23" s="36"/>
      <c r="B23" s="36"/>
      <c r="C23" s="36"/>
      <c r="D23" s="36"/>
      <c r="E23" s="36"/>
      <c r="F23" s="37"/>
      <c r="G23" s="4"/>
      <c r="H23" s="5"/>
      <c r="I23" s="6">
        <f t="shared" si="0"/>
        <v>0</v>
      </c>
      <c r="J23" s="17" t="s">
        <v>24</v>
      </c>
      <c r="L23" s="18" t="s">
        <v>25</v>
      </c>
      <c r="M23" s="17" t="s">
        <v>26</v>
      </c>
      <c r="P23" s="17"/>
    </row>
    <row r="24" spans="1:18" x14ac:dyDescent="0.3">
      <c r="A24" s="36"/>
      <c r="B24" s="36"/>
      <c r="C24" s="36"/>
      <c r="D24" s="36"/>
      <c r="E24" s="36"/>
      <c r="F24" s="37"/>
      <c r="G24" s="4"/>
      <c r="H24" s="5"/>
      <c r="I24" s="6">
        <f t="shared" si="0"/>
        <v>0</v>
      </c>
    </row>
    <row r="25" spans="1:18" x14ac:dyDescent="0.3">
      <c r="A25" s="36"/>
      <c r="B25" s="36"/>
      <c r="C25" s="36"/>
      <c r="D25" s="36"/>
      <c r="E25" s="36"/>
      <c r="F25" s="37"/>
      <c r="G25" s="4"/>
      <c r="H25" s="5"/>
      <c r="I25" s="6">
        <f t="shared" si="0"/>
        <v>0</v>
      </c>
    </row>
    <row r="26" spans="1:18" x14ac:dyDescent="0.3">
      <c r="A26" s="36"/>
      <c r="B26" s="36"/>
      <c r="C26" s="36"/>
      <c r="D26" s="36"/>
      <c r="E26" s="36"/>
      <c r="F26" s="37"/>
      <c r="G26" s="4"/>
      <c r="H26" s="5"/>
      <c r="I26" s="6">
        <f t="shared" si="0"/>
        <v>0</v>
      </c>
    </row>
    <row r="27" spans="1:18" x14ac:dyDescent="0.3">
      <c r="A27" s="36"/>
      <c r="B27" s="36"/>
      <c r="C27" s="36"/>
      <c r="D27" s="36"/>
      <c r="E27" s="36"/>
      <c r="F27" s="37"/>
      <c r="G27" s="4"/>
      <c r="H27" s="5"/>
      <c r="I27" s="6">
        <f t="shared" si="0"/>
        <v>0</v>
      </c>
    </row>
    <row r="28" spans="1:18" x14ac:dyDescent="0.3">
      <c r="A28" s="36"/>
      <c r="B28" s="36"/>
      <c r="C28" s="36"/>
      <c r="D28" s="36"/>
      <c r="E28" s="36"/>
      <c r="F28" s="37"/>
      <c r="G28" s="4"/>
      <c r="H28" s="5"/>
      <c r="I28" s="6">
        <f t="shared" si="0"/>
        <v>0</v>
      </c>
    </row>
    <row r="29" spans="1:18" x14ac:dyDescent="0.3">
      <c r="A29" s="36"/>
      <c r="B29" s="36"/>
      <c r="C29" s="36"/>
      <c r="D29" s="36"/>
      <c r="E29" s="36"/>
      <c r="F29" s="37"/>
      <c r="G29" s="4"/>
      <c r="H29" s="5"/>
      <c r="I29" s="6">
        <f t="shared" si="0"/>
        <v>0</v>
      </c>
    </row>
    <row r="30" spans="1:18" x14ac:dyDescent="0.3">
      <c r="A30" s="36"/>
      <c r="B30" s="36"/>
      <c r="C30" s="36"/>
      <c r="D30" s="36"/>
      <c r="E30" s="36"/>
      <c r="F30" s="37"/>
      <c r="G30" s="4"/>
      <c r="H30" s="5"/>
      <c r="I30" s="6">
        <f t="shared" si="0"/>
        <v>0</v>
      </c>
    </row>
    <row r="31" spans="1:18" x14ac:dyDescent="0.3">
      <c r="A31" s="36"/>
      <c r="B31" s="36"/>
      <c r="C31" s="36"/>
      <c r="D31" s="36"/>
      <c r="E31" s="36"/>
      <c r="F31" s="37"/>
      <c r="G31" s="4"/>
      <c r="H31" s="5"/>
      <c r="I31" s="6">
        <f t="shared" si="0"/>
        <v>0</v>
      </c>
    </row>
    <row r="32" spans="1:18" x14ac:dyDescent="0.3">
      <c r="A32" s="36"/>
      <c r="B32" s="36"/>
      <c r="C32" s="36"/>
      <c r="D32" s="36"/>
      <c r="E32" s="36"/>
      <c r="F32" s="37"/>
      <c r="G32" s="4"/>
      <c r="H32" s="5"/>
      <c r="I32" s="6">
        <f t="shared" si="0"/>
        <v>0</v>
      </c>
    </row>
    <row r="33" spans="1:18" x14ac:dyDescent="0.3">
      <c r="A33" s="36"/>
      <c r="B33" s="36"/>
      <c r="C33" s="36"/>
      <c r="D33" s="36"/>
      <c r="E33" s="36"/>
      <c r="F33" s="37"/>
      <c r="G33" s="4"/>
      <c r="H33" s="5"/>
      <c r="I33" s="6">
        <f t="shared" si="0"/>
        <v>0</v>
      </c>
    </row>
    <row r="34" spans="1:18" x14ac:dyDescent="0.3">
      <c r="A34" s="36"/>
      <c r="B34" s="36"/>
      <c r="C34" s="36"/>
      <c r="D34" s="36"/>
      <c r="E34" s="36"/>
      <c r="F34" s="37"/>
      <c r="G34" s="4"/>
      <c r="H34" s="5"/>
      <c r="I34" s="6">
        <f t="shared" si="0"/>
        <v>0</v>
      </c>
    </row>
    <row r="35" spans="1:18" x14ac:dyDescent="0.3">
      <c r="A35" s="38"/>
      <c r="B35" s="38"/>
      <c r="C35" s="38"/>
      <c r="D35" s="38"/>
      <c r="E35" s="38"/>
      <c r="F35" s="39"/>
      <c r="G35" s="7"/>
      <c r="H35" s="8"/>
      <c r="I35" s="9">
        <f t="shared" si="0"/>
        <v>0</v>
      </c>
    </row>
    <row r="36" spans="1:18" x14ac:dyDescent="0.3">
      <c r="G36" s="28" t="s">
        <v>19</v>
      </c>
      <c r="H36" s="28"/>
      <c r="I36" s="15">
        <f>SUM(I21:I35)</f>
        <v>0</v>
      </c>
    </row>
    <row r="37" spans="1:18" x14ac:dyDescent="0.3">
      <c r="G37" s="29" t="s">
        <v>27</v>
      </c>
      <c r="H37" s="29"/>
      <c r="I37" s="19">
        <v>0.21</v>
      </c>
    </row>
    <row r="38" spans="1:18" x14ac:dyDescent="0.3">
      <c r="G38" s="29" t="s">
        <v>28</v>
      </c>
      <c r="H38" s="29"/>
      <c r="I38" s="15">
        <f>I36*I37</f>
        <v>0</v>
      </c>
    </row>
    <row r="39" spans="1:18" x14ac:dyDescent="0.3">
      <c r="G39" s="30" t="s">
        <v>20</v>
      </c>
      <c r="H39" s="30"/>
      <c r="I39" s="16">
        <f>I36+I38</f>
        <v>0</v>
      </c>
    </row>
    <row r="47" spans="1:18" x14ac:dyDescent="0.3">
      <c r="A47" s="23" t="e" vm="1">
        <v>#VALUE!</v>
      </c>
      <c r="B47" s="23"/>
      <c r="C47" s="23"/>
      <c r="D47" s="23"/>
      <c r="E47" s="23"/>
      <c r="F47" s="23"/>
      <c r="G47" s="23"/>
      <c r="H47" s="23"/>
      <c r="I47" s="23"/>
      <c r="J47" s="23" t="e" vm="1">
        <v>#VALUE!</v>
      </c>
      <c r="K47" s="23"/>
      <c r="L47" s="23"/>
      <c r="M47" s="23"/>
      <c r="N47" s="23"/>
      <c r="O47" s="23"/>
      <c r="P47" s="23"/>
      <c r="Q47" s="23"/>
      <c r="R47" s="23"/>
    </row>
    <row r="48" spans="1:18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</sheetData>
  <mergeCells count="49">
    <mergeCell ref="A9:C9"/>
    <mergeCell ref="A10:C10"/>
    <mergeCell ref="A11:C11"/>
    <mergeCell ref="A12:C12"/>
    <mergeCell ref="A35:F35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Q3:R3"/>
    <mergeCell ref="N4:P4"/>
    <mergeCell ref="Q4:R4"/>
    <mergeCell ref="N5:P5"/>
    <mergeCell ref="A14:C14"/>
    <mergeCell ref="A7:C7"/>
    <mergeCell ref="A8:C8"/>
    <mergeCell ref="H13:I13"/>
    <mergeCell ref="N3:P3"/>
    <mergeCell ref="E5:G5"/>
    <mergeCell ref="E6:G6"/>
    <mergeCell ref="H3:I3"/>
    <mergeCell ref="A47:I48"/>
    <mergeCell ref="G36:H36"/>
    <mergeCell ref="G37:H37"/>
    <mergeCell ref="G39:H39"/>
    <mergeCell ref="G38:H38"/>
    <mergeCell ref="H4:I4"/>
    <mergeCell ref="H5:I5"/>
    <mergeCell ref="H6:I6"/>
    <mergeCell ref="E4:G4"/>
    <mergeCell ref="E3:G3"/>
    <mergeCell ref="Q5:R5"/>
    <mergeCell ref="J47:R48"/>
    <mergeCell ref="J20:R20"/>
    <mergeCell ref="J22:R22"/>
    <mergeCell ref="J14:L14"/>
    <mergeCell ref="N6:P6"/>
    <mergeCell ref="Q6:R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 Alders</dc:creator>
  <cp:lastModifiedBy>Laurens Alders</cp:lastModifiedBy>
  <cp:lastPrinted>2026-05-12T17:06:50Z</cp:lastPrinted>
  <dcterms:created xsi:type="dcterms:W3CDTF">2026-05-12T16:40:28Z</dcterms:created>
  <dcterms:modified xsi:type="dcterms:W3CDTF">2026-06-04T10:15:44Z</dcterms:modified>
</cp:coreProperties>
</file>